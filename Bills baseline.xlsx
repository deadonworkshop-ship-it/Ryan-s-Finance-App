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de6f697988ea/Finance Operational Dashboard App/Finance-Operational-Dashboard/"/>
    </mc:Choice>
  </mc:AlternateContent>
  <xr:revisionPtr revIDLastSave="0" documentId="8_{68B9863C-14B7-4EC5-8BE7-5B5C594328B1}" xr6:coauthVersionLast="47" xr6:coauthVersionMax="47" xr10:uidLastSave="{00000000-0000-0000-0000-000000000000}"/>
  <bookViews>
    <workbookView xWindow="-13245" yWindow="-16320" windowWidth="29040" windowHeight="15720" xr2:uid="{2540EC2C-810E-4E12-BFB4-A04A19AFF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6" i="1"/>
  <c r="D21" i="1" s="1"/>
  <c r="D22" i="1" s="1"/>
  <c r="D23" i="1" l="1"/>
</calcChain>
</file>

<file path=xl/sharedStrings.xml><?xml version="1.0" encoding="utf-8"?>
<sst xmlns="http://schemas.openxmlformats.org/spreadsheetml/2006/main" count="42" uniqueCount="29">
  <si>
    <t>Bill</t>
  </si>
  <si>
    <t>Category</t>
  </si>
  <si>
    <t>Cost</t>
  </si>
  <si>
    <t>Date</t>
  </si>
  <si>
    <t>Land Payment</t>
  </si>
  <si>
    <t>Mortgage</t>
  </si>
  <si>
    <t>T-Mobile</t>
  </si>
  <si>
    <t>Utilities</t>
  </si>
  <si>
    <t>AAFMAA</t>
  </si>
  <si>
    <t>Insurance</t>
  </si>
  <si>
    <t>Travelers Insurance</t>
  </si>
  <si>
    <t>TRICARE</t>
  </si>
  <si>
    <t>Express Scripts</t>
  </si>
  <si>
    <t>Car Payment - Highlander</t>
  </si>
  <si>
    <t>Car Payment</t>
  </si>
  <si>
    <t>Car Payment - Tesla</t>
  </si>
  <si>
    <t>Amelia 529</t>
  </si>
  <si>
    <t>Investing</t>
  </si>
  <si>
    <t>Julia 529</t>
  </si>
  <si>
    <t>Netflix</t>
  </si>
  <si>
    <t>Dues and Subscriptions</t>
  </si>
  <si>
    <t>Denver Water</t>
  </si>
  <si>
    <t>Xcel Energy</t>
  </si>
  <si>
    <t>2/29/2026</t>
  </si>
  <si>
    <t>BAM Internet</t>
  </si>
  <si>
    <t>Total bills</t>
  </si>
  <si>
    <t>Income after bills (IAB)</t>
  </si>
  <si>
    <t>1st half</t>
  </si>
  <si>
    <t>2nd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</si>
</sst>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44" fontId="0" fillId="0" borderId="0" xfId="1" applyFont="1" applyBorder="1"/>
    <xf numFmtId="14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44" fontId="0" fillId="0" borderId="7" xfId="1" applyFont="1" applyBorder="1"/>
    <xf numFmtId="14" fontId="0" fillId="0" borderId="7" xfId="0" applyNumberFormat="1" applyBorder="1"/>
    <xf numFmtId="0" fontId="0" fillId="0" borderId="8" xfId="0" applyBorder="1" applyAlignment="1">
      <alignment horizontal="center"/>
    </xf>
    <xf numFmtId="14" fontId="0" fillId="0" borderId="0" xfId="0" applyNumberFormat="1" applyAlignment="1">
      <alignment horizontal="right"/>
    </xf>
    <xf numFmtId="44" fontId="0" fillId="0" borderId="0" xfId="0" applyNumberFormat="1"/>
    <xf numFmtId="0" fontId="0" fillId="0" borderId="5" xfId="0" applyBorder="1"/>
    <xf numFmtId="44" fontId="0" fillId="0" borderId="7" xfId="0" applyNumberFormat="1" applyBorder="1"/>
    <xf numFmtId="0" fontId="0" fillId="0" borderId="8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C316-3BA5-4D87-A146-6EDA10F9D149}">
  <dimension ref="B1:F24"/>
  <sheetViews>
    <sheetView tabSelected="1" workbookViewId="0">
      <selection activeCell="P30" sqref="P30"/>
    </sheetView>
  </sheetViews>
  <sheetFormatPr defaultRowHeight="15" x14ac:dyDescent="0.25"/>
  <cols>
    <col min="2" max="2" width="23.7109375" bestFit="1" customWidth="1"/>
    <col min="3" max="3" width="22.28515625" bestFit="1" customWidth="1"/>
    <col min="4" max="4" width="11.28515625" bestFit="1" customWidth="1"/>
  </cols>
  <sheetData>
    <row r="1" spans="2:6" ht="15.75" thickBot="1" x14ac:dyDescent="0.3"/>
    <row r="2" spans="2:6" ht="15.75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3"/>
    </row>
    <row r="3" spans="2:6" x14ac:dyDescent="0.25">
      <c r="B3" s="4" t="s">
        <v>4</v>
      </c>
      <c r="C3" t="s">
        <v>5</v>
      </c>
      <c r="D3" s="5">
        <v>-907.5</v>
      </c>
      <c r="E3" s="6">
        <v>46055</v>
      </c>
      <c r="F3" s="7"/>
    </row>
    <row r="4" spans="2:6" x14ac:dyDescent="0.25">
      <c r="B4" s="4" t="s">
        <v>6</v>
      </c>
      <c r="C4" t="s">
        <v>7</v>
      </c>
      <c r="D4" s="5">
        <v>-357.34</v>
      </c>
      <c r="E4" s="6">
        <v>46055</v>
      </c>
      <c r="F4" s="7"/>
    </row>
    <row r="5" spans="2:6" x14ac:dyDescent="0.25">
      <c r="B5" s="4" t="s">
        <v>5</v>
      </c>
      <c r="C5" t="s">
        <v>5</v>
      </c>
      <c r="D5" s="5">
        <v>-2406.2800000000002</v>
      </c>
      <c r="E5" s="6">
        <v>46055</v>
      </c>
      <c r="F5" s="7"/>
    </row>
    <row r="6" spans="2:6" x14ac:dyDescent="0.25">
      <c r="B6" s="4" t="s">
        <v>8</v>
      </c>
      <c r="C6" t="s">
        <v>9</v>
      </c>
      <c r="D6" s="5">
        <f>33.35*(-1)</f>
        <v>-33.35</v>
      </c>
      <c r="E6" s="6">
        <v>46056</v>
      </c>
      <c r="F6" s="7"/>
    </row>
    <row r="7" spans="2:6" x14ac:dyDescent="0.25">
      <c r="B7" s="4" t="s">
        <v>10</v>
      </c>
      <c r="C7" t="s">
        <v>9</v>
      </c>
      <c r="D7" s="5">
        <v>-392.75</v>
      </c>
      <c r="E7" s="6">
        <v>46056</v>
      </c>
      <c r="F7" s="7"/>
    </row>
    <row r="8" spans="2:6" x14ac:dyDescent="0.25">
      <c r="B8" s="4" t="s">
        <v>11</v>
      </c>
      <c r="C8" t="s">
        <v>9</v>
      </c>
      <c r="D8" s="5">
        <v>-286.66000000000003</v>
      </c>
      <c r="E8" s="6">
        <v>46056</v>
      </c>
      <c r="F8" s="7"/>
    </row>
    <row r="9" spans="2:6" x14ac:dyDescent="0.25">
      <c r="B9" s="4" t="s">
        <v>12</v>
      </c>
      <c r="C9" t="s">
        <v>9</v>
      </c>
      <c r="D9" s="5">
        <v>-14</v>
      </c>
      <c r="E9" s="6">
        <v>46057</v>
      </c>
      <c r="F9" s="7"/>
    </row>
    <row r="10" spans="2:6" x14ac:dyDescent="0.25">
      <c r="B10" s="4" t="s">
        <v>13</v>
      </c>
      <c r="C10" t="s">
        <v>14</v>
      </c>
      <c r="D10" s="5">
        <v>-229.03</v>
      </c>
      <c r="E10" s="6">
        <v>46063</v>
      </c>
      <c r="F10" s="7"/>
    </row>
    <row r="11" spans="2:6" ht="15.75" thickBot="1" x14ac:dyDescent="0.3">
      <c r="B11" s="8" t="s">
        <v>15</v>
      </c>
      <c r="C11" s="9" t="s">
        <v>14</v>
      </c>
      <c r="D11" s="10">
        <v>-569</v>
      </c>
      <c r="E11" s="11">
        <v>46063</v>
      </c>
      <c r="F11" s="12"/>
    </row>
    <row r="12" spans="2:6" x14ac:dyDescent="0.25">
      <c r="B12" s="4" t="s">
        <v>16</v>
      </c>
      <c r="C12" t="s">
        <v>17</v>
      </c>
      <c r="D12" s="5">
        <v>-100</v>
      </c>
      <c r="E12" s="6">
        <v>46075</v>
      </c>
      <c r="F12" s="7"/>
    </row>
    <row r="13" spans="2:6" x14ac:dyDescent="0.25">
      <c r="B13" s="4" t="s">
        <v>18</v>
      </c>
      <c r="C13" t="s">
        <v>17</v>
      </c>
      <c r="D13" s="5">
        <v>-100</v>
      </c>
      <c r="E13" s="6">
        <v>46075</v>
      </c>
      <c r="F13" s="7"/>
    </row>
    <row r="14" spans="2:6" x14ac:dyDescent="0.25">
      <c r="B14" s="4" t="s">
        <v>19</v>
      </c>
      <c r="C14" t="s">
        <v>20</v>
      </c>
      <c r="D14" s="5">
        <v>-27.39</v>
      </c>
      <c r="E14" s="6">
        <v>46080</v>
      </c>
      <c r="F14" s="7"/>
    </row>
    <row r="15" spans="2:6" x14ac:dyDescent="0.25">
      <c r="B15" s="4" t="s">
        <v>21</v>
      </c>
      <c r="C15" t="s">
        <v>7</v>
      </c>
      <c r="D15" s="5">
        <v>-61.06</v>
      </c>
      <c r="E15" s="6">
        <v>46080</v>
      </c>
      <c r="F15" s="7"/>
    </row>
    <row r="16" spans="2:6" x14ac:dyDescent="0.25">
      <c r="B16" s="4" t="s">
        <v>10</v>
      </c>
      <c r="C16" t="s">
        <v>9</v>
      </c>
      <c r="D16" s="5">
        <v>-378.5</v>
      </c>
      <c r="E16" s="6">
        <v>46081</v>
      </c>
      <c r="F16" s="7"/>
    </row>
    <row r="17" spans="2:6" x14ac:dyDescent="0.25">
      <c r="B17" s="4" t="s">
        <v>22</v>
      </c>
      <c r="C17" t="s">
        <v>7</v>
      </c>
      <c r="D17" s="5">
        <v>-296.05</v>
      </c>
      <c r="E17" s="13" t="s">
        <v>23</v>
      </c>
      <c r="F17" s="7"/>
    </row>
    <row r="18" spans="2:6" x14ac:dyDescent="0.25">
      <c r="B18" s="4" t="s">
        <v>24</v>
      </c>
      <c r="C18" t="s">
        <v>7</v>
      </c>
      <c r="D18" s="5">
        <v>-80.099999999999994</v>
      </c>
      <c r="E18" s="13" t="s">
        <v>23</v>
      </c>
      <c r="F18" s="7"/>
    </row>
    <row r="19" spans="2:6" x14ac:dyDescent="0.25">
      <c r="B19" s="4"/>
      <c r="D19" s="5"/>
      <c r="E19" s="6"/>
      <c r="F19" s="7"/>
    </row>
    <row r="20" spans="2:6" x14ac:dyDescent="0.25">
      <c r="B20" s="4"/>
      <c r="F20" s="7"/>
    </row>
    <row r="21" spans="2:6" x14ac:dyDescent="0.25">
      <c r="B21" s="4" t="s">
        <v>25</v>
      </c>
      <c r="D21" s="14">
        <f>SUM(D3:D19)</f>
        <v>-6239.01</v>
      </c>
      <c r="F21" s="7"/>
    </row>
    <row r="22" spans="2:6" x14ac:dyDescent="0.25">
      <c r="B22" s="4" t="s">
        <v>26</v>
      </c>
      <c r="D22" s="14">
        <f>I15+D21</f>
        <v>-6239.01</v>
      </c>
      <c r="F22" s="7"/>
    </row>
    <row r="23" spans="2:6" x14ac:dyDescent="0.25">
      <c r="B23" s="4" t="s">
        <v>27</v>
      </c>
      <c r="D23" s="14">
        <f>SUM(D2:D11)</f>
        <v>-5195.9099999999989</v>
      </c>
      <c r="F23" s="15"/>
    </row>
    <row r="24" spans="2:6" ht="15.75" thickBot="1" x14ac:dyDescent="0.3">
      <c r="B24" s="8" t="s">
        <v>28</v>
      </c>
      <c r="C24" s="9"/>
      <c r="D24" s="16">
        <f>SUM(D12:D18)</f>
        <v>-1043.0999999999999</v>
      </c>
      <c r="E24" s="9"/>
      <c r="F2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Wichman</dc:creator>
  <cp:lastModifiedBy>Ryan Wichman</cp:lastModifiedBy>
  <dcterms:created xsi:type="dcterms:W3CDTF">2026-02-19T15:57:12Z</dcterms:created>
  <dcterms:modified xsi:type="dcterms:W3CDTF">2026-02-19T15:57:37Z</dcterms:modified>
</cp:coreProperties>
</file>